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>
    <definedName name="_xlnm._FilterDatabase" localSheetId="0" hidden="1">'BOM'!$A$1:$M$14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  <font>
      <b val="1"/>
      <sz val="12"/>
    </font>
    <font>
      <i val="1"/>
    </font>
    <font>
      <sz val="1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5F9"/>
      </patternFill>
    </fill>
    <fill>
      <patternFill patternType="solid">
        <fgColor rgb="00FFF2C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right" vertical="top" wrapText="1"/>
    </xf>
    <xf numFmtId="0" fontId="0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horizontal="right" vertical="top" wrapText="1"/>
    </xf>
    <xf numFmtId="0" fontId="0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horizontal="right" vertical="top" wrapText="1"/>
    </xf>
    <xf numFmtId="0" fontId="2" fillId="5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eedstudio.com/XIAO-ESP32S3-p-5627.html" TargetMode="External" Id="rId1" /><Relationship Type="http://schemas.openxmlformats.org/officeDocument/2006/relationships/hyperlink" Target="https://www.amazon.com/dp/B0BYSB66S5" TargetMode="External" Id="rId2" /><Relationship Type="http://schemas.openxmlformats.org/officeDocument/2006/relationships/hyperlink" Target="https://www.amazon.com/dp/B0DJ13VW73" TargetMode="External" Id="rId3" /><Relationship Type="http://schemas.openxmlformats.org/officeDocument/2006/relationships/hyperlink" Target="https://www.aliexpress.us/item/3256813175276825.html" TargetMode="External" Id="rId4" /><Relationship Type="http://schemas.openxmlformats.org/officeDocument/2006/relationships/hyperlink" Target="https://www.aliexpress.us/item/3256806569387664.html" TargetMode="External" Id="rId5" /><Relationship Type="http://schemas.openxmlformats.org/officeDocument/2006/relationships/hyperlink" Target="https://www.amazon.com/dp/B0GM7T6XWP" TargetMode="External" Id="rId6" /><Relationship Type="http://schemas.openxmlformats.org/officeDocument/2006/relationships/hyperlink" Target="https://www.aliexpress.us/item/3256812879331298.html" TargetMode="External" Id="rId7" /><Relationship Type="http://schemas.openxmlformats.org/officeDocument/2006/relationships/hyperlink" Target="https://www.amazon.com/dp/B0GM7T6XWP" TargetMode="External" Id="rId8" /><Relationship Type="http://schemas.openxmlformats.org/officeDocument/2006/relationships/hyperlink" Target="https://www.aliexpress.us/item/3256812879331298.html" TargetMode="External" Id="rId9" /><Relationship Type="http://schemas.openxmlformats.org/officeDocument/2006/relationships/hyperlink" Target="https://www.amazon.com/dp/B0FRZW75VS" TargetMode="External" Id="rId10" /><Relationship Type="http://schemas.openxmlformats.org/officeDocument/2006/relationships/hyperlink" Target="https://www.aliexpress.us/item/3256806779943089.html" TargetMode="External" Id="rId11" /><Relationship Type="http://schemas.openxmlformats.org/officeDocument/2006/relationships/hyperlink" Target="https://www.amazon.com/dp/B008DS13P2" TargetMode="External" Id="rId12" /><Relationship Type="http://schemas.openxmlformats.org/officeDocument/2006/relationships/hyperlink" Target="https://www.aliexpress.us/item/3256810140983087.html" TargetMode="External" Id="rId13" /><Relationship Type="http://schemas.openxmlformats.org/officeDocument/2006/relationships/hyperlink" Target="https://www.amazon.com/dp/B0992PZC82" TargetMode="External" Id="rId14" /><Relationship Type="http://schemas.openxmlformats.org/officeDocument/2006/relationships/hyperlink" Target="https://www.aliexpress.us/item/3256812824344961.html" TargetMode="External" Id="rId15" /><Relationship Type="http://schemas.openxmlformats.org/officeDocument/2006/relationships/hyperlink" Target="https://www.amazon.com/dp/B08BF91KY3" TargetMode="External" Id="rId16" /><Relationship Type="http://schemas.openxmlformats.org/officeDocument/2006/relationships/hyperlink" Target="https://www.aliexpress.us/item/3256811560978404.html" TargetMode="External" Id="rId17" /><Relationship Type="http://schemas.openxmlformats.org/officeDocument/2006/relationships/hyperlink" Target="https://www.amazon.com/dp/B0CL9KXXZB" TargetMode="External" Id="rId18" /><Relationship Type="http://schemas.openxmlformats.org/officeDocument/2006/relationships/hyperlink" Target="https://www.aliexpress.us/item/3256807898146236.html" TargetMode="External" Id="rId19" /><Relationship Type="http://schemas.openxmlformats.org/officeDocument/2006/relationships/hyperlink" Target="https://www.amazon.com/dp/B0DJQH3WSX" TargetMode="External" Id="rId20" /><Relationship Type="http://schemas.openxmlformats.org/officeDocument/2006/relationships/hyperlink" Target="https://www.aliexpress.us/item/3256805704775238.html" TargetMode="External" Id="rId21" /><Relationship Type="http://schemas.openxmlformats.org/officeDocument/2006/relationships/hyperlink" Target="https://jlcpcb.com/quote/pcbOrderFaq/PCB%20Color" TargetMode="External" Id="rId22" /><Relationship Type="http://schemas.openxmlformats.org/officeDocument/2006/relationships/hyperlink" Target="https://www.pcbway.com/" TargetMode="External" Id="rId23" 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M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0" customWidth="1" min="3" max="3"/>
    <col width="34" customWidth="1" min="4" max="4"/>
    <col width="42" customWidth="1" min="5" max="5"/>
    <col width="34" customWidth="1" min="6" max="6"/>
    <col width="30" customWidth="1" min="7" max="7"/>
    <col width="14" customWidth="1" min="8" max="8"/>
    <col width="14" customWidth="1" min="9" max="9"/>
    <col width="12" customWidth="1" min="10" max="10"/>
    <col width="9" customWidth="1" min="11" max="11"/>
    <col width="12" customWidth="1" min="12" max="12"/>
    <col width="60" customWidth="1" min="13" max="13"/>
  </cols>
  <sheetData>
    <row r="1" ht="30" customHeight="1">
      <c r="A1" s="1" t="inlineStr">
        <is>
          <t>Item</t>
        </is>
      </c>
      <c r="B1" s="1" t="inlineStr">
        <is>
          <t>Refs</t>
        </is>
      </c>
      <c r="C1" s="1" t="inlineStr">
        <is>
          <t>Qty / board</t>
        </is>
      </c>
      <c r="D1" s="1" t="inlineStr">
        <is>
          <t>Part</t>
        </is>
      </c>
      <c r="E1" s="1" t="inlineStr">
        <is>
          <t>Spec</t>
        </is>
      </c>
      <c r="F1" s="1" t="inlineStr">
        <is>
          <t>Footprint</t>
        </is>
      </c>
      <c r="G1" s="1" t="inlineStr">
        <is>
          <t>Mfr part no.</t>
        </is>
      </c>
      <c r="H1" s="1" t="inlineStr">
        <is>
          <t>Link 1</t>
        </is>
      </c>
      <c r="I1" s="1" t="inlineStr">
        <is>
          <t>Link 2</t>
        </is>
      </c>
      <c r="J1" s="1" t="inlineStr">
        <is>
          <t>Price (Link 1)</t>
        </is>
      </c>
      <c r="K1" s="1" t="inlineStr">
        <is>
          <t>Pack qty</t>
        </is>
      </c>
      <c r="L1" s="1" t="inlineStr">
        <is>
          <t>Build cost</t>
        </is>
      </c>
      <c r="M1" s="1" t="inlineStr">
        <is>
          <t>Notes</t>
        </is>
      </c>
    </row>
    <row r="2">
      <c r="A2" s="2" t="n">
        <v>1</v>
      </c>
      <c r="B2" s="3" t="inlineStr">
        <is>
          <t>U2</t>
        </is>
      </c>
      <c r="C2" s="2" t="n">
        <v>1</v>
      </c>
      <c r="D2" s="4" t="inlineStr">
        <is>
          <t>Seeed Studio XIAO ESP32-S3</t>
        </is>
      </c>
      <c r="E2" s="4" t="inlineStr">
        <is>
          <t>ESP32-S3R8, 8 MB flash, 8 MB PSRAM; SKU 113991114</t>
        </is>
      </c>
      <c r="F2" s="4" t="inlineStr">
        <is>
          <t>XIAO-ESP32-S3-SOCKET</t>
        </is>
      </c>
      <c r="G2" s="4" t="inlineStr">
        <is>
          <t>113991114</t>
        </is>
      </c>
      <c r="H2" s="5" t="inlineStr">
        <is>
          <t>Seeed</t>
        </is>
      </c>
      <c r="I2" s="5" t="inlineStr">
        <is>
          <t>Amazon</t>
        </is>
      </c>
      <c r="J2" s="6" t="n">
        <v>7.49</v>
      </c>
      <c r="K2" s="2" t="n">
        <v>1</v>
      </c>
      <c r="L2" s="6">
        <f>ROUNDUP(C2/K2,0)*J2</f>
        <v/>
      </c>
      <c r="M2" s="4" t="inlineStr">
        <is>
          <t>Primary. Seeed sells it with pin headers Un-Soldered or Pre-Soldered; Pre-Soldered makes the male header line below unnecessary. ALTERNATE if more memory is wanted: XIAO ESP32-S3 Plus (16 MB flash, SKU 102010671) https://www.seeedstudio.com/Seeed-Studio-XIAO-ESP32S3-Plus-p-6361.html / https://www.amazon.com/dp/B0H6XJGN3Z / https://www.aliexpress.us/item/3256808599305867.html - ships WITHOUT headers. Same footprint and the same 8 MB firmware binary on both. Mounted on the back, on sockets.</t>
        </is>
      </c>
    </row>
    <row r="3">
      <c r="A3" s="7" t="n">
        <v>2</v>
      </c>
      <c r="B3" s="8" t="inlineStr">
        <is>
          <t>DS1-DS5</t>
        </is>
      </c>
      <c r="C3" s="7" t="n">
        <v>5</v>
      </c>
      <c r="D3" s="9" t="inlineStr">
        <is>
          <t>1.28in round TFT, GC9A01, 240x240, 7-pin SPI</t>
        </is>
      </c>
      <c r="E3" s="9" t="inlineStr">
        <is>
          <t>7-pin 2.54 mm header, order VCC GND SCL SDA DC CS RST</t>
        </is>
      </c>
      <c r="F3" s="9" t="inlineStr">
        <is>
          <t>_Displays:GC9A01_SOCKET</t>
        </is>
      </c>
      <c r="G3" s="9" t="inlineStr">
        <is>
          <t>generic</t>
        </is>
      </c>
      <c r="H3" s="10" t="inlineStr">
        <is>
          <t>Amazon</t>
        </is>
      </c>
      <c r="I3" s="10" t="inlineStr">
        <is>
          <t>AliExpress</t>
        </is>
      </c>
      <c r="J3" s="11" t="n">
        <v>17.99</v>
      </c>
      <c r="K3" s="7" t="n">
        <v>3</v>
      </c>
      <c r="L3" s="11">
        <f>ROUNDUP(C3/K3,0)*J3</f>
        <v/>
      </c>
      <c r="M3" s="9" t="inlineStr">
        <is>
          <t>Check the listing's pin order before buying; the footprint is pad 1 = VCC (+5V) .. pad 7 = RST. The module's own male header plugs into the female socket below. Lit area ~32.5 mm dia (docs/DISPLAY-EDGE-TEST.md).</t>
        </is>
      </c>
    </row>
    <row r="4">
      <c r="A4" s="2" t="n">
        <v>3</v>
      </c>
      <c r="B4" s="3" t="inlineStr">
        <is>
          <t>LENS1-LENS5 (glass)</t>
        </is>
      </c>
      <c r="C4" s="2" t="n">
        <v>5</v>
      </c>
      <c r="D4" s="4" t="inlineStr">
        <is>
          <t>Display lens: mineral watch crystal, double dome</t>
        </is>
      </c>
      <c r="E4" s="4" t="inlineStr">
        <is>
          <t>35.5 mm dia, 2.0 mm thick</t>
        </is>
      </c>
      <c r="F4" s="4" t="inlineStr">
        <is>
          <t>enclosure part, no footprint</t>
        </is>
      </c>
      <c r="G4" s="4" t="inlineStr">
        <is>
          <t>generic</t>
        </is>
      </c>
      <c r="H4" s="5" t="inlineStr">
        <is>
          <t>AliExpress</t>
        </is>
      </c>
      <c r="I4" s="4" t="inlineStr"/>
      <c r="J4" s="6" t="n">
        <v>3.08</v>
      </c>
      <c r="K4" s="2" t="n">
        <v>1</v>
      </c>
      <c r="L4" s="6">
        <f>ROUNDUP(C4/K4,0)*J4</f>
        <v/>
      </c>
      <c r="M4" s="4" t="inlineStr">
        <is>
          <t>OPTIONAL, not in the build total (priced as an add-on below it). Choose the Diameter 35.5mm option on the listing (Scott, 2026-10-17); clears the ~32.5 mm lit area. No Amazon source found yet.</t>
        </is>
      </c>
    </row>
    <row r="5">
      <c r="A5" s="7" t="n">
        <v>4</v>
      </c>
      <c r="B5" s="8" t="inlineStr">
        <is>
          <t>LENS1-LENS5 (acrylic)</t>
        </is>
      </c>
      <c r="C5" s="7" t="n">
        <v>5</v>
      </c>
      <c r="D5" s="9" t="inlineStr">
        <is>
          <t>Display lens: laser-cut clear acrylic disc</t>
        </is>
      </c>
      <c r="E5" s="9" t="inlineStr">
        <is>
          <t>35.5 mm dia, thickness TBD</t>
        </is>
      </c>
      <c r="F5" s="9" t="inlineStr">
        <is>
          <t>enclosure part, no footprint</t>
        </is>
      </c>
      <c r="G5" s="9" t="inlineStr">
        <is>
          <t>cut in-house</t>
        </is>
      </c>
      <c r="H5" s="9" t="inlineStr">
        <is>
          <t>in-house (laser)</t>
        </is>
      </c>
      <c r="I5" s="9" t="inlineStr"/>
      <c r="J5" s="11" t="inlineStr">
        <is>
          <t>TBD</t>
        </is>
      </c>
      <c r="K5" s="7" t="n">
        <v>1</v>
      </c>
      <c r="L5" s="11" t="inlineStr">
        <is>
          <t>TBD</t>
        </is>
      </c>
      <c r="M5" s="9" t="inlineStr">
        <is>
          <t>OPTIONAL alternative to the glass lens, price TBD (Scott, 2026-10-17). Flat, so no dome. Same 35.5 mm diameter as the glass; the bezel has to allow for whichever thickness is chosen.</t>
        </is>
      </c>
    </row>
    <row r="6">
      <c r="A6" s="2" t="n">
        <v>5</v>
      </c>
      <c r="B6" s="3" t="inlineStr">
        <is>
          <t>J (displays)</t>
        </is>
      </c>
      <c r="C6" s="2" t="n">
        <v>5</v>
      </c>
      <c r="D6" s="4" t="inlineStr">
        <is>
          <t>Female socket 1x07, 2.54 mm, straight</t>
        </is>
      </c>
      <c r="E6" s="4" t="inlineStr">
        <is>
          <t>8.5 mm body, through hole</t>
        </is>
      </c>
      <c r="F6" s="4" t="inlineStr">
        <is>
          <t>PinSocket_1x07_P2.54mm_Vertical (in GC9A01_SOCKET)</t>
        </is>
      </c>
      <c r="G6" s="4" t="inlineStr">
        <is>
          <t>Sullins PPTC071LFBN-RC (reference)</t>
        </is>
      </c>
      <c r="H6" s="5" t="inlineStr">
        <is>
          <t>Amazon</t>
        </is>
      </c>
      <c r="I6" s="5" t="inlineStr">
        <is>
          <t>AliExpress</t>
        </is>
      </c>
      <c r="J6" s="6" t="n">
        <v>6.99</v>
      </c>
      <c r="K6" s="2" t="n">
        <v>60</v>
      </c>
      <c r="L6" s="6">
        <f>ROUNDUP(C6/K6,0)*J6</f>
        <v/>
      </c>
      <c r="M6" s="4" t="inlineStr">
        <is>
          <t>Not a schematic part: modeled inside the display footprint. 8.5 mm is the lift the 3D assumes; the marketplace sockets' body height is NOT verified. On AliExpress choose the 7P option.</t>
        </is>
      </c>
    </row>
    <row r="7">
      <c r="A7" s="7" t="n">
        <v>6</v>
      </c>
      <c r="B7" s="8" t="inlineStr">
        <is>
          <t>J (XIAO)</t>
        </is>
      </c>
      <c r="C7" s="7" t="n">
        <v>2</v>
      </c>
      <c r="D7" s="9" t="inlineStr">
        <is>
          <t>Female socket 1x07, 2.54 mm, straight</t>
        </is>
      </c>
      <c r="E7" s="9" t="inlineStr">
        <is>
          <t>8.5 mm body, through hole</t>
        </is>
      </c>
      <c r="F7" s="9" t="inlineStr">
        <is>
          <t>in XIAO-ESP32-S3-SOCKET</t>
        </is>
      </c>
      <c r="G7" s="9" t="inlineStr">
        <is>
          <t>Sullins PPTC071LFBN-RC (reference)</t>
        </is>
      </c>
      <c r="H7" s="10" t="inlineStr">
        <is>
          <t>Amazon</t>
        </is>
      </c>
      <c r="I7" s="10" t="inlineStr">
        <is>
          <t>AliExpress</t>
        </is>
      </c>
      <c r="J7" s="11" t="n">
        <v>6.99</v>
      </c>
      <c r="K7" s="7" t="n">
        <v>60</v>
      </c>
      <c r="L7" s="11" t="n">
        <v>0</v>
      </c>
      <c r="M7" s="9" t="inlineStr">
        <is>
          <t>Same part as the display sockets; 7 per board in all. Build cost 0: they come out of the line above's 60-pack.</t>
        </is>
      </c>
    </row>
    <row r="8">
      <c r="A8" s="2" t="n">
        <v>7</v>
      </c>
      <c r="B8" s="3" t="inlineStr">
        <is>
          <t>P (XIAO)</t>
        </is>
      </c>
      <c r="C8" s="2" t="n">
        <v>2</v>
      </c>
      <c r="D8" s="4" t="inlineStr">
        <is>
          <t>Male header 1x07, 2.54 mm</t>
        </is>
      </c>
      <c r="E8" s="4" t="inlineStr">
        <is>
          <t>cut from a 1x40 breakaway strip (1 strip = 5 sets)</t>
        </is>
      </c>
      <c r="F8" s="4" t="inlineStr">
        <is>
          <t>in XIAO-ESP32-S3-SOCKET</t>
        </is>
      </c>
      <c r="G8" s="4" t="inlineStr">
        <is>
          <t>Sullins PRPC040SAAN-RC (reference)</t>
        </is>
      </c>
      <c r="H8" s="5" t="inlineStr">
        <is>
          <t>Amazon</t>
        </is>
      </c>
      <c r="I8" s="5" t="inlineStr">
        <is>
          <t>AliExpress</t>
        </is>
      </c>
      <c r="J8" s="6" t="n">
        <v>6.29</v>
      </c>
      <c r="K8" s="2" t="n">
        <v>100</v>
      </c>
      <c r="L8" s="6">
        <f>ROUNDUP(C8/K8,0)*J8</f>
        <v/>
      </c>
      <c r="M8" s="4" t="inlineStr">
        <is>
          <t>Soldered to the XIAO, plugs into the XIAO sockets. Skip if the XIAO was bought Pre-Soldered.</t>
        </is>
      </c>
    </row>
    <row r="9">
      <c r="A9" s="12" t="n">
        <v>8</v>
      </c>
      <c r="B9" s="13" t="inlineStr">
        <is>
          <t>SW1-SW3</t>
        </is>
      </c>
      <c r="C9" s="12" t="n">
        <v>3</v>
      </c>
      <c r="D9" s="14" t="inlineStr">
        <is>
          <t>Tactile switch, right angle, 6x6 mm</t>
        </is>
      </c>
      <c r="E9" s="14" t="inlineStr">
        <is>
          <t>SPST-NO, through hole, side actuated</t>
        </is>
      </c>
      <c r="F9" s="14" t="inlineStr">
        <is>
          <t>SW_Tactile_SPST_Angled_PTS645Vx39-2LFS</t>
        </is>
      </c>
      <c r="G9" s="14" t="inlineStr">
        <is>
          <t>C&amp;K PTS645VL39-2 LFS (footprint part)</t>
        </is>
      </c>
      <c r="H9" s="15" t="inlineStr">
        <is>
          <t>Amazon</t>
        </is>
      </c>
      <c r="I9" s="15" t="inlineStr">
        <is>
          <t>AliExpress</t>
        </is>
      </c>
      <c r="J9" s="16" t="n">
        <v>7.39</v>
      </c>
      <c r="K9" s="12" t="n">
        <v>20</v>
      </c>
      <c r="L9" s="16">
        <f>ROUNDUP(C9/K9,0)*J9</f>
        <v/>
      </c>
      <c r="M9" s="14" t="inlineStr">
        <is>
          <t>FIT NOT VERIFIED: the footprint is the C&amp;K part (7.0 mm mounting-pin pitch); the uxcell 6x6x8 on Amazon lists 6.5 mm. Check one against the board before buying a lot. Exact part: https://lcsc.com/product-detail/Tactile-Switches_C-K-PTS645VL392LFS_C285523.html</t>
        </is>
      </c>
    </row>
    <row r="10">
      <c r="A10" s="2" t="n">
        <v>9</v>
      </c>
      <c r="B10" s="3" t="inlineStr">
        <is>
          <t>C1</t>
        </is>
      </c>
      <c r="C10" s="2" t="n">
        <v>1</v>
      </c>
      <c r="D10" s="4" t="inlineStr">
        <is>
          <t>Electrolytic capacitor 100 uF 16 V, +5V bulk</t>
        </is>
      </c>
      <c r="E10" s="4" t="inlineStr">
        <is>
          <t>100 uF 16 V, 6.3 mm dia, 2.5 mm pitch</t>
        </is>
      </c>
      <c r="F10" s="4" t="inlineStr">
        <is>
          <t>CP_Radial_D6.3mm_P2.50mm</t>
        </is>
      </c>
      <c r="G10" s="4" t="inlineStr">
        <is>
          <t>Panasonic EEU-FC1C101H (reference)</t>
        </is>
      </c>
      <c r="H10" s="5" t="inlineStr">
        <is>
          <t>Amazon</t>
        </is>
      </c>
      <c r="I10" s="5" t="inlineStr">
        <is>
          <t>AliExpress</t>
        </is>
      </c>
      <c r="J10" s="6" t="n">
        <v>6.6</v>
      </c>
      <c r="K10" s="2" t="n">
        <v>10</v>
      </c>
      <c r="L10" s="6">
        <f>ROUNDUP(C10/K10,0)*J10</f>
        <v/>
      </c>
      <c r="M10" s="4" t="inlineStr">
        <is>
          <t>Value set by Scott 2026-10-17. Both listings state 6.3 mm dia (Amazon 6.3x11, AliExpress Nichicon 6.3x7); neither states pitch, and 6.3 mm radials are 2.5 mm by convention. Mounted on the back: the 11 mm Amazon part stands 4 mm taller than the AliExpress one, so check enclosure clearance.</t>
        </is>
      </c>
    </row>
    <row r="11">
      <c r="A11" s="7" t="n">
        <v>10</v>
      </c>
      <c r="B11" s="8" t="inlineStr">
        <is>
          <t>C2</t>
        </is>
      </c>
      <c r="C11" s="7" t="n">
        <v>1</v>
      </c>
      <c r="D11" s="9" t="inlineStr">
        <is>
          <t>Ceramic capacitor 1 uF (105)</t>
        </is>
      </c>
      <c r="E11" s="9" t="inlineStr">
        <is>
          <t>50 V, radial, 5.08 mm lead spacing</t>
        </is>
      </c>
      <c r="F11" s="9" t="inlineStr">
        <is>
          <t>C_Disc_D5.0mm_W2.5mm_P5.00mm</t>
        </is>
      </c>
      <c r="G11" s="9" t="inlineStr">
        <is>
          <t>KEMET C330C105K5R5TA7301 (reference)</t>
        </is>
      </c>
      <c r="H11" s="10" t="inlineStr">
        <is>
          <t>Amazon</t>
        </is>
      </c>
      <c r="I11" s="10" t="inlineStr">
        <is>
          <t>AliExpress</t>
        </is>
      </c>
      <c r="J11" s="11" t="n">
        <v>6.99</v>
      </c>
      <c r="K11" s="7" t="n">
        <v>120</v>
      </c>
      <c r="L11" s="11">
        <f>ROUNDUP(C11/K11,0)*J11</f>
        <v/>
      </c>
      <c r="M11" s="9" t="inlineStr">
        <is>
          <t>Display RST hold-off with R1. Both listings are 5.08 mm pitch.</t>
        </is>
      </c>
    </row>
    <row r="12">
      <c r="A12" s="2" t="n">
        <v>11</v>
      </c>
      <c r="B12" s="3" t="inlineStr">
        <is>
          <t>R1</t>
        </is>
      </c>
      <c r="C12" s="2" t="n">
        <v>1</v>
      </c>
      <c r="D12" s="4" t="inlineStr">
        <is>
          <t>Resistor 10k</t>
        </is>
      </c>
      <c r="E12" s="4" t="inlineStr">
        <is>
          <t>1/4 W 5 % carbon film, axial, 10.16 mm pitch</t>
        </is>
      </c>
      <c r="F12" s="4" t="inlineStr">
        <is>
          <t>R_Axial_DIN0207_L6.3mm_D2.5mm_P10.16mm_Horizontal</t>
        </is>
      </c>
      <c r="G12" s="4" t="inlineStr">
        <is>
          <t>Stackpole CF14JT10K0 (reference)</t>
        </is>
      </c>
      <c r="H12" s="5" t="inlineStr">
        <is>
          <t>Amazon</t>
        </is>
      </c>
      <c r="I12" s="5" t="inlineStr">
        <is>
          <t>AliExpress</t>
        </is>
      </c>
      <c r="J12" s="6" t="n">
        <v>4.99</v>
      </c>
      <c r="K12" s="2" t="n">
        <v>100</v>
      </c>
      <c r="L12" s="6">
        <f>ROUNDUP(C12/K12,0)*J12</f>
        <v/>
      </c>
      <c r="M12" s="4" t="inlineStr">
        <is>
          <t>Display RST pull-up to 3V3.</t>
        </is>
      </c>
    </row>
    <row r="13">
      <c r="A13" s="7" t="n">
        <v>12</v>
      </c>
      <c r="B13" s="8" t="inlineStr">
        <is>
          <t>H1-H7</t>
        </is>
      </c>
      <c r="C13" s="7" t="n">
        <v>7</v>
      </c>
      <c r="D13" s="9" t="inlineStr">
        <is>
          <t>M3 screw (mounting)</t>
        </is>
      </c>
      <c r="E13" s="9" t="inlineStr">
        <is>
          <t>M3-0.5, socket head; 3.2 mm holes</t>
        </is>
      </c>
      <c r="F13" s="9" t="inlineStr">
        <is>
          <t>Edge.Cuts circles, no footprint</t>
        </is>
      </c>
      <c r="G13" s="9" t="inlineStr">
        <is>
          <t>M3 x 6 DIN 912 class 12.9 (length depends on the enclosure)</t>
        </is>
      </c>
      <c r="H13" s="10" t="inlineStr">
        <is>
          <t>Amazon</t>
        </is>
      </c>
      <c r="I13" s="10" t="inlineStr">
        <is>
          <t>AliExpress</t>
        </is>
      </c>
      <c r="J13" s="11" t="n">
        <v>7.49</v>
      </c>
      <c r="K13" s="7" t="n">
        <v>120</v>
      </c>
      <c r="L13" s="11">
        <f>ROUNDUP(C13/K13,0)*J13</f>
        <v/>
      </c>
      <c r="M13" s="9" t="inlineStr">
        <is>
          <t>Standoffs/length set by the enclosure, not chosen yet.</t>
        </is>
      </c>
    </row>
    <row r="14">
      <c r="A14" s="2" t="n">
        <v>13</v>
      </c>
      <c r="B14" s="3" t="inlineStr">
        <is>
          <t>PCB</t>
        </is>
      </c>
      <c r="C14" s="2" t="n">
        <v>1</v>
      </c>
      <c r="D14" s="4" t="inlineStr">
        <is>
          <t>Bare board</t>
        </is>
      </c>
      <c r="E14" s="4" t="inlineStr">
        <is>
          <t>2 layer, 1.6 mm, 198.82 x 47.78 mm, WHITE solder mask, BLACK silkscreen</t>
        </is>
      </c>
      <c r="F14" s="4" t="inlineStr">
        <is>
          <t>hot_info_orbs_xiao.kicad_pcb</t>
        </is>
      </c>
      <c r="G14" s="4" t="inlineStr">
        <is>
          <t>-</t>
        </is>
      </c>
      <c r="H14" s="5" t="inlineStr">
        <is>
          <t>JLCPCB</t>
        </is>
      </c>
      <c r="I14" s="5" t="inlineStr">
        <is>
          <t>PCBWay</t>
        </is>
      </c>
      <c r="J14" s="6" t="inlineStr"/>
      <c r="K14" s="2" t="inlineStr"/>
      <c r="L14" s="6" t="inlineStr"/>
      <c r="M14" s="4" t="inlineStr">
        <is>
          <t>Order the colors explicitly: the stackup colors only drive the 3D/STEP, not the gerbers.</t>
        </is>
      </c>
    </row>
    <row r="16">
      <c r="K16" s="17" t="inlineStr">
        <is>
          <t>Total, one build</t>
        </is>
      </c>
      <c r="L16" s="18">
        <f>L2+L3+L6+L7+L8+L9+L10+L11+L12+L13</f>
        <v/>
      </c>
      <c r="M16" s="19" t="inlineStr">
        <is>
          <t>Required lines only; the optional lenses are below. Link 1 prices seen 2026-10-17, before shipping and tax. PCB not included: get a JLCPCB quote.</t>
        </is>
      </c>
    </row>
    <row r="17">
      <c r="K17" s="17" t="inlineStr">
        <is>
          <t>Per-board share</t>
        </is>
      </c>
      <c r="L17" s="18">
        <f>C2/K2*J2+C3/K3*J3+C6/K6*J6+C7/K7*J7+C8/K8*J8+C9/K9*J9+C10/K10*J10+C11/K11*J11+C12/K12*J12+C13/K13*J13</f>
        <v/>
      </c>
      <c r="M17" s="19" t="inlineStr">
        <is>
          <t>Each pack pro-rated over the boards it covers.</t>
        </is>
      </c>
    </row>
    <row r="18">
      <c r="K18" s="20" t="inlineStr">
        <is>
          <t>Option: glass lenses, per board</t>
        </is>
      </c>
      <c r="L18" s="21">
        <f>L4</f>
        <v/>
      </c>
      <c r="M18" s="19" t="inlineStr">
        <is>
          <t>Five watch crystals, one per display.</t>
        </is>
      </c>
    </row>
    <row r="19">
      <c r="K19" s="20" t="inlineStr">
        <is>
          <t>Option: acrylic lenses, per board</t>
        </is>
      </c>
      <c r="L19" s="21" t="inlineStr">
        <is>
          <t>TBD</t>
        </is>
      </c>
      <c r="M19" s="19" t="inlineStr">
        <is>
          <t>Laser-cut in-house; price not set yet.</t>
        </is>
      </c>
    </row>
    <row r="20">
      <c r="K20" s="20" t="inlineStr">
        <is>
          <t>Option: S3 Plus instead of S3, per board</t>
        </is>
      </c>
      <c r="L20" s="21">
        <f>7.9-J2</f>
        <v/>
      </c>
      <c r="M20" s="19" t="inlineStr">
        <is>
          <t>The Plus ($7.90 on Seeed, seen 2026-10-17) REPLACES U2; only one XIAO goes on a board.</t>
        </is>
      </c>
    </row>
  </sheetData>
  <autoFilter ref="A1:M14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H6" r:id="rId6"/>
    <hyperlink xmlns:r="http://schemas.openxmlformats.org/officeDocument/2006/relationships" ref="I6" r:id="rId7"/>
    <hyperlink xmlns:r="http://schemas.openxmlformats.org/officeDocument/2006/relationships" ref="H7" r:id="rId8"/>
    <hyperlink xmlns:r="http://schemas.openxmlformats.org/officeDocument/2006/relationships" ref="I7" r:id="rId9"/>
    <hyperlink xmlns:r="http://schemas.openxmlformats.org/officeDocument/2006/relationships" ref="H8" r:id="rId10"/>
    <hyperlink xmlns:r="http://schemas.openxmlformats.org/officeDocument/2006/relationships" ref="I8" r:id="rId11"/>
    <hyperlink xmlns:r="http://schemas.openxmlformats.org/officeDocument/2006/relationships" ref="H9" r:id="rId12"/>
    <hyperlink xmlns:r="http://schemas.openxmlformats.org/officeDocument/2006/relationships" ref="I9" r:id="rId13"/>
    <hyperlink xmlns:r="http://schemas.openxmlformats.org/officeDocument/2006/relationships" ref="H10" r:id="rId14"/>
    <hyperlink xmlns:r="http://schemas.openxmlformats.org/officeDocument/2006/relationships" ref="I10" r:id="rId15"/>
    <hyperlink xmlns:r="http://schemas.openxmlformats.org/officeDocument/2006/relationships" ref="H11" r:id="rId16"/>
    <hyperlink xmlns:r="http://schemas.openxmlformats.org/officeDocument/2006/relationships" ref="I11" r:id="rId17"/>
    <hyperlink xmlns:r="http://schemas.openxmlformats.org/officeDocument/2006/relationships" ref="H12" r:id="rId18"/>
    <hyperlink xmlns:r="http://schemas.openxmlformats.org/officeDocument/2006/relationships" ref="I12" r:id="rId19"/>
    <hyperlink xmlns:r="http://schemas.openxmlformats.org/officeDocument/2006/relationships" ref="H13" r:id="rId20"/>
    <hyperlink xmlns:r="http://schemas.openxmlformats.org/officeDocument/2006/relationships" ref="I13" r:id="rId21"/>
    <hyperlink xmlns:r="http://schemas.openxmlformats.org/officeDocument/2006/relationships" ref="H14" r:id="rId22"/>
    <hyperlink xmlns:r="http://schemas.openxmlformats.org/officeDocument/2006/relationships" ref="I1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2026-10-17T16:14:42Z</dcterms:created>
  <dcterms:modified xsi:type="dcterms:W3CDTF">2026-10-17T16:14:42Z</dcterms:modified>
</cp:coreProperties>
</file>